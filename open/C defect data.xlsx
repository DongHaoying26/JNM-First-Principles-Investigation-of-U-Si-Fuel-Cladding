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<sst xmlns="http://schemas.openxmlformats.org/spreadsheetml/2006/main" count="213" uniqueCount="92">
  <si>
    <t>U3Si2</t>
  </si>
  <si>
    <t>SiC</t>
  </si>
  <si>
    <t>Cr</t>
  </si>
  <si>
    <t>Fe</t>
  </si>
  <si>
    <t>Zr</t>
  </si>
  <si>
    <t>e0</t>
  </si>
  <si>
    <t>cronsi</t>
  </si>
  <si>
    <t>u1vac</t>
  </si>
  <si>
    <t>cronu1</t>
  </si>
  <si>
    <t>sivac</t>
  </si>
  <si>
    <t>crvac</t>
  </si>
  <si>
    <t>fevac</t>
  </si>
  <si>
    <t>zrvac</t>
  </si>
  <si>
    <t>u2vac</t>
  </si>
  <si>
    <t>cronu2</t>
  </si>
  <si>
    <t>cvac</t>
  </si>
  <si>
    <t>uoncr</t>
  </si>
  <si>
    <t>uonfe</t>
  </si>
  <si>
    <t>uonzr</t>
  </si>
  <si>
    <t>crint1</t>
  </si>
  <si>
    <t>consi</t>
  </si>
  <si>
    <t>sioncr</t>
  </si>
  <si>
    <t>sionfe</t>
  </si>
  <si>
    <t>sionzr</t>
  </si>
  <si>
    <t>sionu1</t>
  </si>
  <si>
    <t>crint2</t>
  </si>
  <si>
    <t>sionc</t>
  </si>
  <si>
    <t>noncr</t>
  </si>
  <si>
    <t>feint</t>
  </si>
  <si>
    <t>zrint</t>
  </si>
  <si>
    <t>sionu2</t>
  </si>
  <si>
    <t>crint3</t>
  </si>
  <si>
    <t>uonsi</t>
  </si>
  <si>
    <t>crint</t>
  </si>
  <si>
    <t>siint</t>
  </si>
  <si>
    <t>nonu1</t>
  </si>
  <si>
    <t>crint4</t>
  </si>
  <si>
    <t>uonc</t>
  </si>
  <si>
    <t>uiint</t>
  </si>
  <si>
    <t>nonu2</t>
  </si>
  <si>
    <t>feonsi</t>
  </si>
  <si>
    <t>uin4b</t>
  </si>
  <si>
    <t>nint</t>
  </si>
  <si>
    <t>zrint2</t>
  </si>
  <si>
    <t>feonu1</t>
  </si>
  <si>
    <t>uin4d</t>
  </si>
  <si>
    <t>U</t>
  </si>
  <si>
    <t>siint2</t>
  </si>
  <si>
    <t>nonsi</t>
  </si>
  <si>
    <t>feonu2</t>
  </si>
  <si>
    <t>siin4b</t>
  </si>
  <si>
    <t>Si</t>
  </si>
  <si>
    <t>uiint2</t>
  </si>
  <si>
    <t>uint1</t>
  </si>
  <si>
    <t>feint1</t>
  </si>
  <si>
    <t>siin4d</t>
  </si>
  <si>
    <t>N</t>
  </si>
  <si>
    <t>uint2</t>
  </si>
  <si>
    <t>feint2</t>
  </si>
  <si>
    <t>cin4b</t>
  </si>
  <si>
    <t>C</t>
  </si>
  <si>
    <t>uint3</t>
  </si>
  <si>
    <t>feint3</t>
  </si>
  <si>
    <t>cin4d</t>
  </si>
  <si>
    <t>uint4</t>
  </si>
  <si>
    <t>feint4</t>
  </si>
  <si>
    <t>sivacinsionc</t>
  </si>
  <si>
    <t>siint1</t>
  </si>
  <si>
    <t>zronsi</t>
  </si>
  <si>
    <t>zronu1</t>
  </si>
  <si>
    <t>siint3</t>
  </si>
  <si>
    <t>zronu2</t>
  </si>
  <si>
    <t>siint4</t>
  </si>
  <si>
    <t>zrint1</t>
  </si>
  <si>
    <t>zr</t>
  </si>
  <si>
    <t>cint1</t>
  </si>
  <si>
    <t>cint2</t>
  </si>
  <si>
    <t>zrint3</t>
  </si>
  <si>
    <t>cint3</t>
  </si>
  <si>
    <t>zrint4</t>
  </si>
  <si>
    <t>cint4</t>
  </si>
  <si>
    <t>nint1</t>
  </si>
  <si>
    <t>nint2</t>
  </si>
  <si>
    <t>nint3</t>
  </si>
  <si>
    <t>nint4</t>
  </si>
  <si>
    <t>conu1</t>
  </si>
  <si>
    <t>conu2</t>
  </si>
  <si>
    <t>PAW_PBE U 06Sep2000</t>
  </si>
  <si>
    <t>PAW_PBE Si 05Jan2001</t>
  </si>
  <si>
    <t>PAW_PBE Fe 06Sep2000</t>
  </si>
  <si>
    <t>PAW_PBE Cr_pv 02Aug2007</t>
  </si>
  <si>
    <t>PAW_PBE Zr_sv 04Jan2005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</si>
</sst>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fill" vertical="top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fill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tabSelected="1" topLeftCell="A55" workbookViewId="0">
      <selection activeCell="F72" sqref="F72"/>
    </sheetView>
  </sheetViews>
  <sheetFormatPr defaultColWidth="9" defaultRowHeight="13.5"/>
  <cols>
    <col min="2" max="2" width="13.75"/>
    <col min="5" max="5" width="13.75"/>
    <col min="8" max="8" width="14.625" customWidth="1"/>
    <col min="9" max="9" width="17.125" customWidth="1"/>
    <col min="11" max="11" width="11.125" customWidth="1"/>
    <col min="12" max="12" width="15.25" customWidth="1"/>
    <col min="14" max="14" width="11.125" customWidth="1"/>
    <col min="15" max="15" width="16" customWidth="1"/>
    <col min="17" max="17" width="14.125" customWidth="1"/>
    <col min="18" max="18" width="20.5" customWidth="1"/>
  </cols>
  <sheetData>
    <row r="1" ht="20.25" spans="1:18">
      <c r="A1" s="1" t="s">
        <v>0</v>
      </c>
      <c r="B1" s="2"/>
      <c r="C1" s="2"/>
      <c r="D1" s="2"/>
      <c r="E1" s="2"/>
      <c r="H1" s="3" t="s">
        <v>1</v>
      </c>
      <c r="I1" s="4"/>
      <c r="K1" s="3" t="s">
        <v>2</v>
      </c>
      <c r="L1" s="4"/>
      <c r="N1" s="3" t="s">
        <v>3</v>
      </c>
      <c r="O1" s="4"/>
      <c r="Q1" s="3" t="s">
        <v>4</v>
      </c>
      <c r="R1" s="4"/>
    </row>
    <row r="2" spans="1:18">
      <c r="A2" s="5" t="s">
        <v>5</v>
      </c>
      <c r="B2" s="6">
        <v>-661.40810441</v>
      </c>
      <c r="C2" s="5"/>
      <c r="D2" s="5" t="s">
        <v>6</v>
      </c>
      <c r="E2" s="6">
        <v>-661.12173047</v>
      </c>
      <c r="H2" t="s">
        <v>5</v>
      </c>
      <c r="I2" s="7">
        <v>-1626.72546872</v>
      </c>
      <c r="K2" t="s">
        <v>5</v>
      </c>
      <c r="L2" s="7">
        <v>-411.43164533</v>
      </c>
      <c r="N2" t="s">
        <v>5</v>
      </c>
      <c r="O2" s="7">
        <v>-374.38557845</v>
      </c>
      <c r="Q2" t="s">
        <v>5</v>
      </c>
      <c r="R2" s="7">
        <v>-402.6679498</v>
      </c>
    </row>
    <row r="3" spans="1:18">
      <c r="A3" s="5" t="s">
        <v>7</v>
      </c>
      <c r="B3" s="6">
        <v>-650.05986464</v>
      </c>
      <c r="C3" s="5"/>
      <c r="D3" s="5" t="s">
        <v>8</v>
      </c>
      <c r="E3" s="6">
        <v>-659.03447028</v>
      </c>
      <c r="H3" t="s">
        <v>9</v>
      </c>
      <c r="I3" s="7">
        <v>-1613.58724716</v>
      </c>
      <c r="K3" t="s">
        <v>10</v>
      </c>
      <c r="L3" s="7">
        <v>-400.82263058</v>
      </c>
      <c r="N3" t="s">
        <v>11</v>
      </c>
      <c r="O3" s="7">
        <v>-365.85336397</v>
      </c>
      <c r="Q3" t="s">
        <v>12</v>
      </c>
      <c r="R3" s="7">
        <v>-393.0149123</v>
      </c>
    </row>
    <row r="4" spans="1:18">
      <c r="A4" s="5" t="s">
        <v>13</v>
      </c>
      <c r="B4" s="6">
        <v>-648.95349993</v>
      </c>
      <c r="C4" s="5"/>
      <c r="D4" s="5" t="s">
        <v>14</v>
      </c>
      <c r="E4" s="6">
        <v>-657.89024484</v>
      </c>
      <c r="H4" t="s">
        <v>15</v>
      </c>
      <c r="I4" s="7">
        <v>-1613.20150261</v>
      </c>
      <c r="K4" t="s">
        <v>16</v>
      </c>
      <c r="L4" s="7">
        <v>-411.63465235</v>
      </c>
      <c r="N4" t="s">
        <v>17</v>
      </c>
      <c r="O4" s="7">
        <v>-377.38199114</v>
      </c>
      <c r="Q4" t="s">
        <v>18</v>
      </c>
      <c r="R4" s="7">
        <v>-403.97693447</v>
      </c>
    </row>
    <row r="5" spans="1:18">
      <c r="A5" s="5" t="s">
        <v>9</v>
      </c>
      <c r="B5" s="6">
        <v>-653.23371075</v>
      </c>
      <c r="C5" s="5"/>
      <c r="D5" s="5" t="s">
        <v>19</v>
      </c>
      <c r="E5" s="6">
        <v>-667.70372365</v>
      </c>
      <c r="H5" t="s">
        <v>20</v>
      </c>
      <c r="I5" s="7">
        <v>-1626.9697046</v>
      </c>
      <c r="K5" t="s">
        <v>21</v>
      </c>
      <c r="L5" s="7">
        <v>-410.14488171</v>
      </c>
      <c r="N5" t="s">
        <v>22</v>
      </c>
      <c r="O5" s="7">
        <v>-374.09173529</v>
      </c>
      <c r="Q5" t="s">
        <v>23</v>
      </c>
      <c r="R5" s="7">
        <v>-401.33662516</v>
      </c>
    </row>
    <row r="6" spans="1:18">
      <c r="A6" s="5" t="s">
        <v>24</v>
      </c>
      <c r="B6" s="6">
        <v>-656.65965108</v>
      </c>
      <c r="C6" s="5"/>
      <c r="D6" s="5" t="s">
        <v>25</v>
      </c>
      <c r="E6" s="6">
        <v>-666.51706524</v>
      </c>
      <c r="H6" t="s">
        <v>26</v>
      </c>
      <c r="I6" s="7">
        <v>-1619.10251247</v>
      </c>
      <c r="K6" t="s">
        <v>27</v>
      </c>
      <c r="L6" s="7">
        <v>-408.44207566</v>
      </c>
      <c r="N6" t="s">
        <v>28</v>
      </c>
      <c r="O6" s="7">
        <v>-376.53046896</v>
      </c>
      <c r="Q6" t="s">
        <v>29</v>
      </c>
      <c r="R6" s="7">
        <v>-406.27609946</v>
      </c>
    </row>
    <row r="7" spans="1:18">
      <c r="A7" s="5" t="s">
        <v>30</v>
      </c>
      <c r="B7" s="6">
        <v>-655.74433371</v>
      </c>
      <c r="C7" s="5"/>
      <c r="D7" s="5" t="s">
        <v>31</v>
      </c>
      <c r="E7" s="6">
        <v>-666.30606509</v>
      </c>
      <c r="H7" t="s">
        <v>32</v>
      </c>
      <c r="I7" s="7">
        <v>-1625.9492104</v>
      </c>
      <c r="K7" t="s">
        <v>33</v>
      </c>
      <c r="L7" s="7">
        <v>-411.80118618</v>
      </c>
      <c r="N7" t="s">
        <v>34</v>
      </c>
      <c r="O7" s="7">
        <v>-377.12039146</v>
      </c>
      <c r="Q7" t="s">
        <v>34</v>
      </c>
      <c r="R7" s="7">
        <v>-407.82707708</v>
      </c>
    </row>
    <row r="8" spans="1:18">
      <c r="A8" s="5" t="s">
        <v>35</v>
      </c>
      <c r="B8" s="6">
        <v>-656.43411453</v>
      </c>
      <c r="C8" s="5"/>
      <c r="D8" s="5" t="s">
        <v>36</v>
      </c>
      <c r="E8" s="6">
        <v>-667.45459191</v>
      </c>
      <c r="H8" t="s">
        <v>37</v>
      </c>
      <c r="I8" s="7">
        <v>-1616.71796218</v>
      </c>
      <c r="K8" t="s">
        <v>34</v>
      </c>
      <c r="L8" s="7">
        <v>-422.25266901</v>
      </c>
      <c r="N8" t="s">
        <v>38</v>
      </c>
      <c r="O8" s="7">
        <v>-378.24177332</v>
      </c>
      <c r="Q8" t="s">
        <v>38</v>
      </c>
      <c r="R8" s="7">
        <v>-407.90787495</v>
      </c>
    </row>
    <row r="9" spans="1:18">
      <c r="A9" s="5" t="s">
        <v>39</v>
      </c>
      <c r="B9" s="6">
        <v>-657.72385746</v>
      </c>
      <c r="C9" s="5"/>
      <c r="D9" s="5" t="s">
        <v>40</v>
      </c>
      <c r="E9" s="6">
        <v>-661.10123954</v>
      </c>
      <c r="H9" t="s">
        <v>41</v>
      </c>
      <c r="I9" s="7">
        <v>-1623.05515454</v>
      </c>
      <c r="K9" t="s">
        <v>42</v>
      </c>
      <c r="L9" s="7">
        <v>-419.40605232</v>
      </c>
      <c r="O9" s="7"/>
      <c r="Q9" t="s">
        <v>43</v>
      </c>
      <c r="R9" s="7">
        <v>-406.11551407</v>
      </c>
    </row>
    <row r="10" spans="1:18">
      <c r="A10" s="5" t="s">
        <v>32</v>
      </c>
      <c r="B10" s="6">
        <v>-663.55184886</v>
      </c>
      <c r="C10" s="5"/>
      <c r="D10" s="5" t="s">
        <v>44</v>
      </c>
      <c r="E10" s="6">
        <v>-657.65490508</v>
      </c>
      <c r="H10" t="s">
        <v>45</v>
      </c>
      <c r="I10" s="7">
        <v>-1621.59918905</v>
      </c>
      <c r="L10" s="7"/>
      <c r="N10" s="8" t="s">
        <v>46</v>
      </c>
      <c r="O10" s="7">
        <v>-9.3408045475</v>
      </c>
      <c r="Q10" t="s">
        <v>47</v>
      </c>
      <c r="R10" s="7">
        <v>-404.99210947</v>
      </c>
    </row>
    <row r="11" spans="1:18">
      <c r="A11" s="5" t="s">
        <v>48</v>
      </c>
      <c r="B11" s="6">
        <v>-663.65599227</v>
      </c>
      <c r="C11" s="5"/>
      <c r="D11" s="5" t="s">
        <v>49</v>
      </c>
      <c r="E11" s="6">
        <v>-656.84007341</v>
      </c>
      <c r="H11" t="s">
        <v>50</v>
      </c>
      <c r="I11" s="7">
        <v>-1621.86257925</v>
      </c>
      <c r="K11" s="8" t="s">
        <v>46</v>
      </c>
      <c r="L11" s="7">
        <v>-9.3408045475</v>
      </c>
      <c r="N11" s="8" t="s">
        <v>51</v>
      </c>
      <c r="O11" s="7">
        <v>-5.424</v>
      </c>
      <c r="Q11" t="s">
        <v>52</v>
      </c>
      <c r="R11" s="7">
        <v>-408.1627342</v>
      </c>
    </row>
    <row r="12" spans="1:18">
      <c r="A12" s="5" t="s">
        <v>53</v>
      </c>
      <c r="B12" s="6">
        <v>-668.43805047</v>
      </c>
      <c r="C12" s="5"/>
      <c r="D12" s="5" t="s">
        <v>54</v>
      </c>
      <c r="E12" s="6">
        <v>-667.49891911</v>
      </c>
      <c r="H12" t="s">
        <v>55</v>
      </c>
      <c r="I12" s="7">
        <v>-1623.58174789</v>
      </c>
      <c r="K12" s="8" t="s">
        <v>51</v>
      </c>
      <c r="L12" s="7">
        <v>-5.424</v>
      </c>
      <c r="N12" s="8" t="s">
        <v>56</v>
      </c>
      <c r="O12" s="7">
        <v>-8.3365</v>
      </c>
      <c r="R12" s="7"/>
    </row>
    <row r="13" spans="1:18">
      <c r="A13" s="5" t="s">
        <v>57</v>
      </c>
      <c r="B13" s="6">
        <v>-666.54289332</v>
      </c>
      <c r="C13" s="5"/>
      <c r="D13" s="5" t="s">
        <v>58</v>
      </c>
      <c r="E13" s="6">
        <v>-666.97243547</v>
      </c>
      <c r="H13" t="s">
        <v>59</v>
      </c>
      <c r="I13" s="7">
        <v>-1629.55156687</v>
      </c>
      <c r="K13" s="8" t="s">
        <v>56</v>
      </c>
      <c r="L13" s="7">
        <v>-8.3365</v>
      </c>
      <c r="N13" s="8" t="s">
        <v>60</v>
      </c>
      <c r="O13" s="7">
        <v>-9.228148465</v>
      </c>
      <c r="Q13" s="8" t="s">
        <v>46</v>
      </c>
      <c r="R13" s="7">
        <v>-9.3408045475</v>
      </c>
    </row>
    <row r="14" spans="1:18">
      <c r="A14" s="5" t="s">
        <v>61</v>
      </c>
      <c r="B14" s="6">
        <v>-666.41922237</v>
      </c>
      <c r="C14" s="5"/>
      <c r="D14" s="5" t="s">
        <v>62</v>
      </c>
      <c r="E14" s="6">
        <v>-666.88903638</v>
      </c>
      <c r="H14" t="s">
        <v>63</v>
      </c>
      <c r="I14" s="7">
        <v>-1625.38181062</v>
      </c>
      <c r="K14" s="8" t="s">
        <v>60</v>
      </c>
      <c r="L14" s="7">
        <v>-9.228148465</v>
      </c>
      <c r="N14" s="8" t="s">
        <v>2</v>
      </c>
      <c r="O14" s="7">
        <v>-7.618630905</v>
      </c>
      <c r="Q14" s="8" t="s">
        <v>51</v>
      </c>
      <c r="R14" s="7">
        <v>-5.424</v>
      </c>
    </row>
    <row r="15" spans="1:18">
      <c r="A15" s="5" t="s">
        <v>64</v>
      </c>
      <c r="B15" s="6">
        <v>-667.11881864</v>
      </c>
      <c r="C15" s="5"/>
      <c r="D15" s="5" t="s">
        <v>65</v>
      </c>
      <c r="E15" s="6">
        <v>-667.28908026</v>
      </c>
      <c r="H15" t="s">
        <v>66</v>
      </c>
      <c r="I15" s="7">
        <v>-1606.16549864</v>
      </c>
      <c r="K15" s="8" t="s">
        <v>2</v>
      </c>
      <c r="L15" s="7">
        <v>-7.618630905</v>
      </c>
      <c r="N15" s="8" t="s">
        <v>3</v>
      </c>
      <c r="O15" s="7">
        <v>-6.93306626759259</v>
      </c>
      <c r="Q15" s="8" t="s">
        <v>56</v>
      </c>
      <c r="R15" s="7">
        <v>-8.3365</v>
      </c>
    </row>
    <row r="16" spans="1:18">
      <c r="A16" s="5" t="s">
        <v>67</v>
      </c>
      <c r="B16" s="6">
        <v>-666.51146839</v>
      </c>
      <c r="C16" s="5"/>
      <c r="D16" s="5" t="s">
        <v>68</v>
      </c>
      <c r="E16" s="6">
        <v>-660.39716973</v>
      </c>
      <c r="I16" s="7"/>
      <c r="K16" s="8" t="s">
        <v>3</v>
      </c>
      <c r="L16" s="7">
        <v>-6.93306626759259</v>
      </c>
      <c r="O16" s="7"/>
      <c r="Q16" s="8" t="s">
        <v>60</v>
      </c>
      <c r="R16" s="7">
        <v>-9.228148465</v>
      </c>
    </row>
    <row r="17" spans="1:18">
      <c r="A17" s="5" t="s">
        <v>47</v>
      </c>
      <c r="B17" s="6">
        <v>-666.31417485</v>
      </c>
      <c r="C17" s="5"/>
      <c r="D17" s="5" t="s">
        <v>69</v>
      </c>
      <c r="E17" s="6">
        <v>-659.85984249</v>
      </c>
      <c r="H17" s="8" t="s">
        <v>46</v>
      </c>
      <c r="I17" s="7">
        <v>-9.3408045475</v>
      </c>
      <c r="L17" s="7"/>
      <c r="N17" t="s">
        <v>11</v>
      </c>
      <c r="O17" s="7">
        <v>1.59914821240746</v>
      </c>
      <c r="Q17" s="8" t="s">
        <v>2</v>
      </c>
      <c r="R17" s="7">
        <v>-7.618630905</v>
      </c>
    </row>
    <row r="18" spans="1:18">
      <c r="A18" s="5" t="s">
        <v>70</v>
      </c>
      <c r="B18" s="6">
        <v>-663.56947043</v>
      </c>
      <c r="C18" s="5"/>
      <c r="D18" s="5" t="s">
        <v>71</v>
      </c>
      <c r="E18" s="6">
        <v>-659.97170392</v>
      </c>
      <c r="H18" s="8" t="s">
        <v>51</v>
      </c>
      <c r="I18" s="7">
        <v>-5.424</v>
      </c>
      <c r="K18" t="s">
        <v>10</v>
      </c>
      <c r="L18" s="7">
        <v>2.99038384499997</v>
      </c>
      <c r="N18" t="s">
        <v>17</v>
      </c>
      <c r="O18" s="7">
        <v>-0.58867441009259</v>
      </c>
      <c r="Q18" s="8" t="s">
        <v>3</v>
      </c>
      <c r="R18" s="7">
        <v>-6.93306626759259</v>
      </c>
    </row>
    <row r="19" spans="1:18">
      <c r="A19" s="5" t="s">
        <v>72</v>
      </c>
      <c r="B19" s="6">
        <v>-664.76437499</v>
      </c>
      <c r="C19" s="5"/>
      <c r="D19" s="5" t="s">
        <v>73</v>
      </c>
      <c r="E19" s="6">
        <v>-665.17477088</v>
      </c>
      <c r="H19" s="8" t="s">
        <v>56</v>
      </c>
      <c r="I19" s="7">
        <v>-8.3365</v>
      </c>
      <c r="K19" t="s">
        <v>16</v>
      </c>
      <c r="L19" s="7">
        <v>1.51916662249997</v>
      </c>
      <c r="N19" t="s">
        <v>22</v>
      </c>
      <c r="O19" s="7">
        <v>-1.21522310759254</v>
      </c>
      <c r="Q19" s="8" t="s">
        <v>74</v>
      </c>
      <c r="R19" s="7">
        <v>-7.45681388518519</v>
      </c>
    </row>
    <row r="20" spans="1:18">
      <c r="A20" s="5" t="s">
        <v>75</v>
      </c>
      <c r="B20" s="6">
        <v>-671.4296252</v>
      </c>
      <c r="C20" s="5"/>
      <c r="D20" s="5" t="s">
        <v>43</v>
      </c>
      <c r="E20" s="6">
        <v>-667.21834193</v>
      </c>
      <c r="H20" s="8" t="s">
        <v>60</v>
      </c>
      <c r="I20" s="7">
        <v>-9.228148465</v>
      </c>
      <c r="K20" t="s">
        <v>21</v>
      </c>
      <c r="L20" s="7">
        <v>-0.907867285000012</v>
      </c>
      <c r="N20" t="s">
        <v>28</v>
      </c>
      <c r="O20" s="7">
        <v>4.78817575759261</v>
      </c>
      <c r="R20" s="7"/>
    </row>
    <row r="21" spans="1:18">
      <c r="A21" s="5" t="s">
        <v>76</v>
      </c>
      <c r="B21" s="6">
        <v>-668.08654907</v>
      </c>
      <c r="C21" s="5"/>
      <c r="D21" s="5" t="s">
        <v>77</v>
      </c>
      <c r="E21" s="6">
        <v>-664.2926561</v>
      </c>
      <c r="I21" s="7"/>
      <c r="K21" t="s">
        <v>27</v>
      </c>
      <c r="L21" s="7"/>
      <c r="N21" t="s">
        <v>34</v>
      </c>
      <c r="O21" s="7">
        <v>2.68918699000002</v>
      </c>
      <c r="Q21" t="s">
        <v>12</v>
      </c>
      <c r="R21" s="7">
        <v>2.19622361481479</v>
      </c>
    </row>
    <row r="22" spans="1:18">
      <c r="A22" s="5" t="s">
        <v>78</v>
      </c>
      <c r="B22" s="6">
        <v>-669.2977036</v>
      </c>
      <c r="C22" s="5"/>
      <c r="D22" s="5" t="s">
        <v>79</v>
      </c>
      <c r="E22" s="6">
        <v>-664.72582625</v>
      </c>
      <c r="H22" t="s">
        <v>9</v>
      </c>
      <c r="I22" s="7">
        <v>7.71422155999992</v>
      </c>
      <c r="K22" t="s">
        <v>33</v>
      </c>
      <c r="L22" s="7">
        <v>7.24909005499998</v>
      </c>
      <c r="N22" t="s">
        <v>38</v>
      </c>
      <c r="O22" s="7">
        <v>5.48460967750003</v>
      </c>
      <c r="Q22" t="s">
        <v>18</v>
      </c>
      <c r="R22" s="7">
        <v>0.575005992314779</v>
      </c>
    </row>
    <row r="23" spans="1:18">
      <c r="A23" s="5" t="s">
        <v>80</v>
      </c>
      <c r="B23" s="6">
        <v>-669.64095812</v>
      </c>
      <c r="C23" s="5"/>
      <c r="D23" s="5"/>
      <c r="E23" s="5"/>
      <c r="H23" t="s">
        <v>15</v>
      </c>
      <c r="I23" s="7">
        <v>4.29581764499995</v>
      </c>
      <c r="K23" t="s">
        <v>34</v>
      </c>
      <c r="L23" s="7">
        <v>-5.39702368</v>
      </c>
      <c r="Q23" t="s">
        <v>23</v>
      </c>
      <c r="R23" s="7">
        <v>-0.701489245185199</v>
      </c>
    </row>
    <row r="24" spans="1:18">
      <c r="A24" s="5" t="s">
        <v>81</v>
      </c>
      <c r="B24" s="6">
        <v>-672.40192373</v>
      </c>
      <c r="C24" s="5"/>
      <c r="D24" s="5"/>
      <c r="E24" s="5"/>
      <c r="H24" t="s">
        <v>20</v>
      </c>
      <c r="I24" s="7">
        <v>3.55991258499989</v>
      </c>
      <c r="K24" t="s">
        <v>42</v>
      </c>
      <c r="L24" s="7">
        <v>0.362093009999965</v>
      </c>
      <c r="Q24" t="s">
        <v>29</v>
      </c>
      <c r="R24" s="7">
        <v>3.84866422518515</v>
      </c>
    </row>
    <row r="25" spans="1:18">
      <c r="A25" s="5" t="s">
        <v>82</v>
      </c>
      <c r="B25" s="6">
        <v>-668.79018574</v>
      </c>
      <c r="C25" s="5"/>
      <c r="D25" s="5"/>
      <c r="E25" s="5"/>
      <c r="H25" t="s">
        <v>26</v>
      </c>
      <c r="I25" s="7">
        <v>3.81880778500001</v>
      </c>
      <c r="Q25" t="s">
        <v>34</v>
      </c>
      <c r="R25" s="7">
        <v>0.264872719999993</v>
      </c>
    </row>
    <row r="26" spans="1:18">
      <c r="A26" s="5" t="s">
        <v>83</v>
      </c>
      <c r="B26" s="6">
        <v>-670.39445251</v>
      </c>
      <c r="C26" s="5"/>
      <c r="D26" s="5"/>
      <c r="E26" s="5"/>
      <c r="H26" t="s">
        <v>32</v>
      </c>
      <c r="I26" s="7">
        <v>4.69306286749992</v>
      </c>
      <c r="Q26" t="s">
        <v>38</v>
      </c>
      <c r="R26" s="7">
        <v>4.10087939749997</v>
      </c>
    </row>
    <row r="27" spans="1:18">
      <c r="A27" s="5" t="s">
        <v>84</v>
      </c>
      <c r="B27" s="6">
        <v>-670.28660947</v>
      </c>
      <c r="C27" s="5"/>
      <c r="D27" s="5"/>
      <c r="E27" s="5"/>
      <c r="H27" t="s">
        <v>37</v>
      </c>
      <c r="I27" s="7">
        <v>10.1201626224999</v>
      </c>
      <c r="Q27" t="s">
        <v>43</v>
      </c>
      <c r="R27" s="7">
        <v>2.67792497518516</v>
      </c>
    </row>
    <row r="28" spans="1:18">
      <c r="A28" s="5" t="s">
        <v>20</v>
      </c>
      <c r="B28" s="6">
        <v>-662.888119</v>
      </c>
      <c r="C28" s="5"/>
      <c r="D28" s="5"/>
      <c r="E28" s="5"/>
      <c r="H28" t="s">
        <v>41</v>
      </c>
      <c r="I28" s="7">
        <v>13.0111187274999</v>
      </c>
      <c r="Q28" t="s">
        <v>47</v>
      </c>
      <c r="R28" s="7">
        <v>1.76851568999998</v>
      </c>
    </row>
    <row r="29" spans="1:18">
      <c r="A29" s="5" t="s">
        <v>85</v>
      </c>
      <c r="B29" s="6">
        <v>-656.17950131</v>
      </c>
      <c r="C29" s="5"/>
      <c r="D29" s="5"/>
      <c r="E29" s="5"/>
      <c r="H29" t="s">
        <v>45</v>
      </c>
      <c r="I29" s="7">
        <v>14.4670842175</v>
      </c>
      <c r="Q29" t="s">
        <v>52</v>
      </c>
      <c r="R29" s="7">
        <v>2.51469550749999</v>
      </c>
    </row>
    <row r="30" spans="1:18">
      <c r="A30" s="5" t="s">
        <v>86</v>
      </c>
      <c r="B30" s="6">
        <v>-657.41760607</v>
      </c>
      <c r="C30" s="5"/>
      <c r="D30" s="5"/>
      <c r="E30" s="5"/>
      <c r="H30" t="s">
        <v>50</v>
      </c>
      <c r="I30" s="7">
        <v>10.28688947</v>
      </c>
    </row>
    <row r="31" spans="1:18">
      <c r="A31" s="5"/>
      <c r="B31" s="5"/>
      <c r="C31" s="5"/>
      <c r="D31" s="5"/>
      <c r="E31" s="5"/>
      <c r="H31" t="s">
        <v>55</v>
      </c>
      <c r="I31" s="7">
        <v>8.56772082999989</v>
      </c>
    </row>
    <row r="32" spans="1:18">
      <c r="A32" s="5"/>
      <c r="B32" s="5"/>
      <c r="C32" s="5"/>
      <c r="D32" s="5"/>
      <c r="E32" s="5"/>
      <c r="H32" t="s">
        <v>59</v>
      </c>
      <c r="I32" s="7">
        <v>6.40205031499999</v>
      </c>
    </row>
    <row r="33" spans="1:9">
      <c r="A33" s="9" t="s">
        <v>46</v>
      </c>
      <c r="B33" s="5">
        <v>-9.3408045475</v>
      </c>
      <c r="C33" s="5"/>
      <c r="D33" s="5"/>
      <c r="E33" s="5"/>
      <c r="H33" t="s">
        <v>63</v>
      </c>
      <c r="I33" s="7">
        <v>10.5718065650001</v>
      </c>
    </row>
    <row r="34" spans="1:9">
      <c r="A34" s="9" t="s">
        <v>51</v>
      </c>
      <c r="B34" s="5">
        <v>-5.424</v>
      </c>
      <c r="C34" s="5"/>
      <c r="D34" s="5"/>
      <c r="E34" s="5"/>
      <c r="H34" t="s">
        <v>66</v>
      </c>
      <c r="I34" s="7">
        <v>11.3318216150001</v>
      </c>
    </row>
    <row r="35" spans="1:9">
      <c r="A35" s="9" t="s">
        <v>56</v>
      </c>
      <c r="B35" s="5">
        <v>-8.3365</v>
      </c>
      <c r="C35" s="5"/>
      <c r="D35" s="5"/>
      <c r="E35" s="5"/>
    </row>
    <row r="36" spans="1:9">
      <c r="A36" s="9" t="s">
        <v>60</v>
      </c>
      <c r="B36" s="5">
        <v>-9.228148465</v>
      </c>
      <c r="C36" s="5"/>
      <c r="D36" s="5"/>
      <c r="E36" s="5"/>
    </row>
    <row r="37" spans="1:9">
      <c r="A37" s="9" t="s">
        <v>2</v>
      </c>
      <c r="B37" s="5">
        <f>-15.23726181/2</f>
        <v>-7.618630905</v>
      </c>
      <c r="C37" s="5"/>
      <c r="D37" s="5"/>
      <c r="E37" s="5"/>
    </row>
    <row r="38" spans="1:9">
      <c r="A38" s="9" t="s">
        <v>3</v>
      </c>
      <c r="B38" s="6">
        <v>-6.93306626759259</v>
      </c>
      <c r="C38" s="5"/>
      <c r="D38" s="5"/>
      <c r="E38" s="5"/>
    </row>
    <row r="39" spans="1:9">
      <c r="A39" s="9" t="s">
        <v>4</v>
      </c>
      <c r="B39" s="6">
        <v>-7.45681388518519</v>
      </c>
      <c r="C39" s="5"/>
      <c r="D39" s="5"/>
      <c r="E39" s="5"/>
    </row>
    <row r="40" spans="1:9">
      <c r="A40" s="5"/>
      <c r="B40" s="6"/>
      <c r="C40" s="5"/>
      <c r="D40" s="5"/>
      <c r="E40" s="6"/>
    </row>
    <row r="41" spans="1:9">
      <c r="A41" s="5" t="s">
        <v>7</v>
      </c>
      <c r="B41" s="6">
        <f>B3-B2+B33</f>
        <v>2.00743522249996</v>
      </c>
      <c r="C41" s="5"/>
      <c r="D41" s="5" t="s">
        <v>6</v>
      </c>
      <c r="E41" s="6">
        <f>E2-B2+B34-B37</f>
        <v>2.48100484499998</v>
      </c>
    </row>
    <row r="42" spans="1:9">
      <c r="A42" s="5" t="s">
        <v>13</v>
      </c>
      <c r="B42" s="6">
        <f>B4-B2+B33</f>
        <v>3.11379993249994</v>
      </c>
      <c r="C42" s="5"/>
      <c r="D42" s="5" t="s">
        <v>8</v>
      </c>
      <c r="E42" s="6">
        <f>E3-$B$2+B33-B37</f>
        <v>0.651460487499914</v>
      </c>
    </row>
    <row r="43" spans="1:9">
      <c r="A43" s="5" t="s">
        <v>9</v>
      </c>
      <c r="B43" s="6">
        <f>B5-B2+B34</f>
        <v>2.75039365999996</v>
      </c>
      <c r="C43" s="5"/>
      <c r="D43" s="5" t="s">
        <v>14</v>
      </c>
      <c r="E43" s="6">
        <f>E4-$B$2+B33-B37</f>
        <v>1.79568592749993</v>
      </c>
    </row>
    <row r="44" spans="1:9">
      <c r="A44" s="5" t="s">
        <v>24</v>
      </c>
      <c r="B44" s="6">
        <f>B6-B2+B33-B34</f>
        <v>0.831648782499962</v>
      </c>
      <c r="C44" s="5"/>
      <c r="D44" s="5" t="s">
        <v>19</v>
      </c>
      <c r="E44" s="6">
        <f>E5-$B$2-B37</f>
        <v>1.32301166499994</v>
      </c>
    </row>
    <row r="45" spans="1:9">
      <c r="A45" s="5" t="s">
        <v>30</v>
      </c>
      <c r="B45" s="6">
        <f>B7-B2+B33-B34</f>
        <v>1.74696615249999</v>
      </c>
      <c r="C45" s="5"/>
      <c r="D45" s="5" t="s">
        <v>25</v>
      </c>
      <c r="E45" s="6">
        <f>E6-$B$2-B37</f>
        <v>2.509670075</v>
      </c>
    </row>
    <row r="46" spans="1:9">
      <c r="A46" s="5" t="s">
        <v>35</v>
      </c>
      <c r="B46" s="6">
        <f>B8-B2+B33-B35</f>
        <v>3.96968533249998</v>
      </c>
      <c r="C46" s="5"/>
      <c r="D46" s="5" t="s">
        <v>31</v>
      </c>
      <c r="E46" s="6">
        <f>E7-$B$2-B37</f>
        <v>2.72067022500002</v>
      </c>
    </row>
    <row r="47" spans="1:9">
      <c r="A47" s="5" t="s">
        <v>39</v>
      </c>
      <c r="B47" s="6">
        <f>B9-B2+B33-B35</f>
        <v>2.67994240249999</v>
      </c>
      <c r="C47" s="5"/>
      <c r="D47" s="5" t="s">
        <v>36</v>
      </c>
      <c r="E47" s="6">
        <f>E8-$B$2-B37</f>
        <v>1.57214340499999</v>
      </c>
    </row>
    <row r="48" spans="1:9">
      <c r="A48" s="5" t="s">
        <v>32</v>
      </c>
      <c r="B48" s="6">
        <f>B10-B2+B34-B33</f>
        <v>1.77306009750001</v>
      </c>
      <c r="C48" s="5"/>
      <c r="D48" s="5" t="s">
        <v>40</v>
      </c>
      <c r="E48" s="6">
        <f>E9-B2+B34-B38</f>
        <v>1.8159311375925</v>
      </c>
    </row>
    <row r="49" spans="1:5">
      <c r="A49" s="5" t="s">
        <v>48</v>
      </c>
      <c r="B49" s="6">
        <f>B11-B2+B34-B35</f>
        <v>0.664612140000007</v>
      </c>
      <c r="C49" s="5"/>
      <c r="D49" s="5" t="s">
        <v>44</v>
      </c>
      <c r="E49" s="6">
        <f>E10-$B$2+B33-B38</f>
        <v>1.34546105009251</v>
      </c>
    </row>
    <row r="50" spans="1:5">
      <c r="A50" s="5" t="s">
        <v>53</v>
      </c>
      <c r="B50" s="6">
        <f>B12-B2-B33</f>
        <v>2.31085848749996</v>
      </c>
      <c r="C50" s="5"/>
      <c r="D50" s="5" t="s">
        <v>49</v>
      </c>
      <c r="E50" s="6">
        <f>E11-$B$2+B33-B38</f>
        <v>2.16029272009261</v>
      </c>
    </row>
    <row r="51" spans="1:5">
      <c r="A51" s="5" t="s">
        <v>57</v>
      </c>
      <c r="B51" s="6">
        <f>B13-B2-B33</f>
        <v>4.2060156375</v>
      </c>
      <c r="C51" s="5"/>
      <c r="D51" s="5" t="s">
        <v>54</v>
      </c>
      <c r="E51" s="6">
        <f>E12-$B$2-B38</f>
        <v>0.84225156759258</v>
      </c>
    </row>
    <row r="52" spans="1:5">
      <c r="A52" s="5" t="s">
        <v>61</v>
      </c>
      <c r="B52" s="6">
        <f>B14-B2-B33</f>
        <v>4.32968658749991</v>
      </c>
      <c r="C52" s="5"/>
      <c r="D52" s="5" t="s">
        <v>58</v>
      </c>
      <c r="E52" s="6">
        <f>E13-$B$2-B38</f>
        <v>1.3687352075925</v>
      </c>
    </row>
    <row r="53" spans="1:5">
      <c r="A53" s="5" t="s">
        <v>64</v>
      </c>
      <c r="B53" s="6">
        <f>B15-B2-B33</f>
        <v>3.63009031749999</v>
      </c>
      <c r="C53" s="5"/>
      <c r="D53" s="5" t="s">
        <v>62</v>
      </c>
      <c r="E53" s="6">
        <f>E14-$B$2-B38</f>
        <v>1.45213429759256</v>
      </c>
    </row>
    <row r="54" spans="1:5">
      <c r="A54" s="5" t="s">
        <v>67</v>
      </c>
      <c r="B54" s="6">
        <f>B16-B2-B34</f>
        <v>0.32063601999996</v>
      </c>
      <c r="C54" s="5"/>
      <c r="D54" s="5" t="s">
        <v>65</v>
      </c>
      <c r="E54" s="6">
        <f>E15-$B$2-B38</f>
        <v>1.05209041759256</v>
      </c>
    </row>
    <row r="55" spans="1:5">
      <c r="A55" s="5" t="s">
        <v>47</v>
      </c>
      <c r="B55" s="6">
        <f>B17-B2-B34</f>
        <v>0.517929559999993</v>
      </c>
      <c r="C55" s="5"/>
      <c r="D55" s="5" t="s">
        <v>68</v>
      </c>
      <c r="E55" s="6">
        <f>E16-B2+B34-B39</f>
        <v>3.04374856518518</v>
      </c>
    </row>
    <row r="56" spans="1:5">
      <c r="A56" s="5" t="s">
        <v>70</v>
      </c>
      <c r="B56" s="6">
        <f>B18-B2-B34</f>
        <v>3.26263397999994</v>
      </c>
      <c r="C56" s="5"/>
      <c r="D56" s="5" t="s">
        <v>69</v>
      </c>
      <c r="E56" s="6">
        <f>E17-B2+B33-B39</f>
        <v>-0.33572874231485</v>
      </c>
    </row>
    <row r="57" spans="1:5">
      <c r="A57" s="5" t="s">
        <v>72</v>
      </c>
      <c r="B57" s="6">
        <f>B19-$B$2-B34</f>
        <v>2.06772942</v>
      </c>
      <c r="C57" s="5"/>
      <c r="D57" s="5" t="s">
        <v>71</v>
      </c>
      <c r="E57" s="6">
        <f>E18-B2+B33-B39</f>
        <v>-0.447590172314826</v>
      </c>
    </row>
    <row r="58" spans="1:5">
      <c r="A58" s="5" t="s">
        <v>75</v>
      </c>
      <c r="B58" s="6">
        <f t="shared" ref="B58:B61" si="0">B20-$B$2-$B$36</f>
        <v>-0.793372325000067</v>
      </c>
      <c r="C58" s="5"/>
      <c r="D58" s="5" t="s">
        <v>73</v>
      </c>
      <c r="E58" s="6">
        <f>E19-$B$2-B39</f>
        <v>3.69014741518517</v>
      </c>
    </row>
    <row r="59" spans="1:5">
      <c r="A59" s="5" t="s">
        <v>76</v>
      </c>
      <c r="B59" s="6">
        <f t="shared" si="0"/>
        <v>2.54970380499992</v>
      </c>
      <c r="C59" s="5"/>
      <c r="D59" s="5" t="s">
        <v>43</v>
      </c>
      <c r="E59" s="6">
        <f>E20-$B$2-B39</f>
        <v>1.6465763651852</v>
      </c>
    </row>
    <row r="60" spans="1:5">
      <c r="A60" s="5" t="s">
        <v>78</v>
      </c>
      <c r="B60" s="6">
        <f t="shared" si="0"/>
        <v>1.33854927499999</v>
      </c>
      <c r="C60" s="5"/>
      <c r="D60" s="5" t="s">
        <v>77</v>
      </c>
      <c r="E60" s="6">
        <f>E21-$B$2-B39</f>
        <v>4.57226219518511</v>
      </c>
    </row>
    <row r="61" spans="1:5">
      <c r="A61" s="5" t="s">
        <v>80</v>
      </c>
      <c r="B61" s="6">
        <f t="shared" si="0"/>
        <v>0.995294754999914</v>
      </c>
      <c r="C61" s="5"/>
      <c r="D61" s="5" t="s">
        <v>79</v>
      </c>
      <c r="E61" s="6">
        <f>E22-$B$2-B39</f>
        <v>4.1390920451852</v>
      </c>
    </row>
    <row r="62" spans="1:5">
      <c r="A62" s="5" t="s">
        <v>81</v>
      </c>
      <c r="B62" s="6">
        <f t="shared" ref="B62:B65" si="1">B24-$B$2-$B$35</f>
        <v>-2.65731932000006</v>
      </c>
      <c r="C62" s="5"/>
      <c r="D62" s="5"/>
      <c r="E62" s="6"/>
    </row>
    <row r="63" spans="1:5">
      <c r="A63" s="5" t="s">
        <v>82</v>
      </c>
      <c r="B63" s="6">
        <f t="shared" si="1"/>
        <v>0.954418669999994</v>
      </c>
      <c r="C63" s="5"/>
      <c r="D63" s="5"/>
      <c r="E63" s="6"/>
    </row>
    <row r="64" spans="1:5">
      <c r="A64" s="5" t="s">
        <v>83</v>
      </c>
      <c r="B64" s="6">
        <f t="shared" si="1"/>
        <v>-0.649848099999987</v>
      </c>
      <c r="C64" s="5"/>
      <c r="D64" s="5"/>
      <c r="E64" s="6"/>
    </row>
    <row r="65" spans="1:6">
      <c r="A65" s="5" t="s">
        <v>84</v>
      </c>
      <c r="B65" s="6">
        <f t="shared" si="1"/>
        <v>-0.542005060000067</v>
      </c>
      <c r="C65" s="5"/>
      <c r="D65" s="5"/>
      <c r="E65" s="6"/>
      <c r="F65" s="10"/>
    </row>
    <row r="66" spans="1:6">
      <c r="A66" s="5" t="s">
        <v>20</v>
      </c>
      <c r="B66" s="6">
        <f>B28-B2+B34-B36</f>
        <v>2.324133875</v>
      </c>
      <c r="C66" s="5"/>
      <c r="D66" s="5"/>
      <c r="E66" s="6"/>
    </row>
    <row r="67" spans="1:6">
      <c r="A67" s="5" t="s">
        <v>85</v>
      </c>
      <c r="B67" s="6">
        <f>B29-B2+B33-B36</f>
        <v>5.11594701749999</v>
      </c>
      <c r="C67" s="5"/>
      <c r="D67" s="5"/>
      <c r="E67" s="6"/>
    </row>
    <row r="68" spans="1:6">
      <c r="A68" s="5" t="s">
        <v>86</v>
      </c>
      <c r="B68" s="6">
        <f>B30-B2+B33-B36</f>
        <v>3.87784225749993</v>
      </c>
      <c r="C68" s="5"/>
      <c r="D68" s="5"/>
      <c r="E68" s="6"/>
    </row>
    <row r="74" spans="1:6">
      <c r="A74" s="11" t="s">
        <v>87</v>
      </c>
      <c r="B74" s="12"/>
      <c r="C74" s="5"/>
    </row>
    <row r="75" spans="1:6">
      <c r="A75" s="13" t="s">
        <v>88</v>
      </c>
      <c r="B75" s="12"/>
      <c r="C75" s="5"/>
    </row>
    <row r="76" spans="1:6">
      <c r="A76" s="13" t="s">
        <v>89</v>
      </c>
      <c r="B76" s="12"/>
      <c r="C76" s="5"/>
    </row>
    <row r="77" spans="1:6">
      <c r="A77" s="13" t="s">
        <v>90</v>
      </c>
      <c r="B77" s="12"/>
      <c r="C77" s="5"/>
    </row>
    <row r="78" spans="1:6">
      <c r="A78" s="13" t="s">
        <v>91</v>
      </c>
      <c r="B78" s="12"/>
      <c r="C78" s="5"/>
    </row>
  </sheetData>
  <mergeCells count="5">
    <mergeCell ref="A1:E1"/>
    <mergeCell ref="H1:I1"/>
    <mergeCell ref="K1:L1"/>
    <mergeCell ref="N1:O1"/>
    <mergeCell ref="Q1:R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非常优秀</dc:creator>
  <cp:lastModifiedBy>Drake、Hale</cp:lastModifiedBy>
  <dcterms:created xsi:type="dcterms:W3CDTF">2026-03-26T05:35:00Z</dcterms:created>
  <dcterms:modified xsi:type="dcterms:W3CDTF">2026-03-27T05:05:46Z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DEF8D7CDF0DF4D608AA75AC0A677CB5B_11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